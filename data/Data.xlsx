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128"/>
  <workbookPr/>
  <mc:AlternateContent xmlns:mc="http://schemas.openxmlformats.org/markup-compatibility/2006">
    <mc:Choice Requires="x15">
      <x15ac:absPath xmlns:x15ac="http://schemas.microsoft.com/office/spreadsheetml/2010/11/ac" url="E:\uni\Project\"/>
    </mc:Choice>
  </mc:AlternateContent>
  <xr:revisionPtr revIDLastSave="0" documentId="13_ncr:1_{0B70E71C-6C9D-4D66-ABB4-D335378EA837}" xr6:coauthVersionLast="47" xr6:coauthVersionMax="47" xr10:uidLastSave="{00000000-0000-0000-0000-000000000000}"/>
  <bookViews>
    <workbookView xWindow="-98" yWindow="-98" windowWidth="21795" windowHeight="13096" xr2:uid="{00000000-000D-0000-FFFF-FFFF00000000}"/>
  </bookViews>
  <sheets>
    <sheet name="Sheet1" sheetId="1" r:id="rId1"/>
    <sheet name="Sheet2" sheetId="2" r:id="rId2"/>
    <sheet name="Sheet4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048  Page 70_596f0198-78f8-4efc-a9c8-71b8fadb5def" name="Table048  Page 70" connection="Query - Table048 (Page 70)"/>
          <x15:modelTable id="Table049  Page 71_aee36ff3-b811-4b68-b987-6d97e9528e11" name="Table049  Page 71" connection="Query - Table049 (Page 71)"/>
          <x15:modelTable id="Table050  Page 72_9e961515-1e5a-47c1-b221-52a54c2d3514" name="Table050  Page 72" connection="Query - Table050 (Page 72)"/>
          <x15:modelTable id="Table051  Page 73_e26dc95a-f868-417f-9f94-63eb870df5b9" name="Table051  Page 73" connection="Query - Table051 (Page 73)"/>
          <x15:modelTable id="Table052  Page 74_994252d8-6f07-4ccf-83eb-1e3104a878c4" name="Table052  Page 74" connection="Query - Table052 (Page 74)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3" i="2" l="1"/>
  <c r="A4" i="2" s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2" i="1"/>
  <c r="J3" i="1"/>
  <c r="J4" i="1"/>
  <c r="K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FE8B243-62C8-459A-AAC2-04128381ED59}" keepAlive="1" name="Query - Table037 (Page 53)" description="Connection to the 'Table037 (Page 53)' query in the workbook." type="5" refreshedVersion="7" background="1" saveData="1">
    <dbPr connection="Provider=Microsoft.Mashup.OleDb.1;Data Source=$Workbook$;Location=&quot;Table037 (Page 53)&quot;;Extended Properties=&quot;&quot;" command="SELECT * FROM [Table037 (Page 53)]"/>
  </connection>
  <connection id="2" xr16:uid="{5AE6941E-B48A-4AE8-B343-28CAC73513D3}" keepAlive="1" name="Query - Table041 (Page 63)" description="Connection to the 'Table041 (Page 63)' query in the workbook." type="5" refreshedVersion="0" background="1">
    <dbPr connection="Provider=Microsoft.Mashup.OleDb.1;Data Source=$Workbook$;Location=&quot;Table041 (Page 63)&quot;;Extended Properties=&quot;&quot;" command="SELECT * FROM [Table041 (Page 63)]"/>
  </connection>
  <connection id="3" xr16:uid="{AC54217B-B33F-4F32-967B-A534B9A531F5}" keepAlive="1" name="Query - Table042 (Page 64)" description="Connection to the 'Table042 (Page 64)' query in the workbook." type="5" refreshedVersion="7" background="1" saveData="1">
    <dbPr connection="Provider=Microsoft.Mashup.OleDb.1;Data Source=$Workbook$;Location=&quot;Table042 (Page 64)&quot;;Extended Properties=&quot;&quot;" command="SELECT * FROM [Table042 (Page 64)]"/>
  </connection>
  <connection id="4" xr16:uid="{CB96B795-0BB2-4245-9E73-DC2E8F1CA5B3}" keepAlive="1" name="Query - Table043 (Page 65)" description="Connection to the 'Table043 (Page 65)' query in the workbook." type="5" refreshedVersion="7" background="1" saveData="1">
    <dbPr connection="Provider=Microsoft.Mashup.OleDb.1;Data Source=$Workbook$;Location=&quot;Table043 (Page 65)&quot;;Extended Properties=&quot;&quot;" command="SELECT * FROM [Table043 (Page 65)]"/>
  </connection>
  <connection id="5" xr16:uid="{09A9C766-2D22-44C2-9F15-8AE17BCFEEB0}" name="Query - Table048 (Page 70)" description="Connection to the 'Table048 (Page 70)' query in the workbook." type="100" refreshedVersion="7" minRefreshableVersion="5">
    <extLst>
      <ext xmlns:x15="http://schemas.microsoft.com/office/spreadsheetml/2010/11/main" uri="{DE250136-89BD-433C-8126-D09CA5730AF9}">
        <x15:connection id="36ce6b57-68ac-4597-8afd-66143b0e98a9"/>
      </ext>
    </extLst>
  </connection>
  <connection id="6" xr16:uid="{0A37B45D-9FCC-4C06-9578-844F4BFD0633}" keepAlive="1" name="Query - Table048 (Page 70) (2)" description="Connection to the 'Table048 (Page 70) (2)' query in the workbook." type="5" refreshedVersion="7" background="1" saveData="1">
    <dbPr connection="Provider=Microsoft.Mashup.OleDb.1;Data Source=$Workbook$;Location=&quot;Table048 (Page 70) (2)&quot;;Extended Properties=&quot;&quot;" command="SELECT * FROM [Table048 (Page 70) (2)]"/>
  </connection>
  <connection id="7" xr16:uid="{61285313-1CFA-4F28-BFBC-DFC4B9532974}" name="Query - Table049 (Page 71)" description="Connection to the 'Table049 (Page 71)' query in the workbook." type="100" refreshedVersion="7" minRefreshableVersion="5">
    <extLst>
      <ext xmlns:x15="http://schemas.microsoft.com/office/spreadsheetml/2010/11/main" uri="{DE250136-89BD-433C-8126-D09CA5730AF9}">
        <x15:connection id="416a8ea4-b983-42b1-8955-8ff3a3b5b6ff"/>
      </ext>
    </extLst>
  </connection>
  <connection id="8" xr16:uid="{ADC6B03C-9A74-429E-9B02-37978E1163D9}" keepAlive="1" name="Query - Table049 (Page 71) (2)" description="Connection to the 'Table049 (Page 71) (2)' query in the workbook." type="5" refreshedVersion="7" background="1" saveData="1">
    <dbPr connection="Provider=Microsoft.Mashup.OleDb.1;Data Source=$Workbook$;Location=&quot;Table049 (Page 71) (2)&quot;;Extended Properties=&quot;&quot;" command="SELECT * FROM [Table049 (Page 71) (2)]"/>
  </connection>
  <connection id="9" xr16:uid="{A186F485-9541-4989-ABBD-F95AFD354028}" name="Query - Table050 (Page 72)" description="Connection to the 'Table050 (Page 72)' query in the workbook." type="100" refreshedVersion="7" minRefreshableVersion="5">
    <extLst>
      <ext xmlns:x15="http://schemas.microsoft.com/office/spreadsheetml/2010/11/main" uri="{DE250136-89BD-433C-8126-D09CA5730AF9}">
        <x15:connection id="d1c7f2d8-2ab3-44b8-b1ee-1df17b88ffa4"/>
      </ext>
    </extLst>
  </connection>
  <connection id="10" xr16:uid="{2E57487A-1A31-4727-AB61-5FC94D8D31FB}" keepAlive="1" name="Query - Table050 (Page 72) (2)" description="Connection to the 'Table050 (Page 72) (2)' query in the workbook." type="5" refreshedVersion="7" background="1" saveData="1">
    <dbPr connection="Provider=Microsoft.Mashup.OleDb.1;Data Source=$Workbook$;Location=&quot;Table050 (Page 72) (2)&quot;;Extended Properties=&quot;&quot;" command="SELECT * FROM [Table050 (Page 72) (2)]"/>
  </connection>
  <connection id="11" xr16:uid="{5D65B0C3-4575-42E5-BD69-5123DCC55757}" name="Query - Table051 (Page 73)" description="Connection to the 'Table051 (Page 73)' query in the workbook." type="100" refreshedVersion="7" minRefreshableVersion="5">
    <extLst>
      <ext xmlns:x15="http://schemas.microsoft.com/office/spreadsheetml/2010/11/main" uri="{DE250136-89BD-433C-8126-D09CA5730AF9}">
        <x15:connection id="e26c60e7-b7f0-4368-850a-50cc3bd92587"/>
      </ext>
    </extLst>
  </connection>
  <connection id="12" xr16:uid="{DDD51ED5-7AA4-4A5E-BC89-43FEC63A3862}" keepAlive="1" name="Query - Table051 (Page 73) (2)" description="Connection to the 'Table051 (Page 73) (2)' query in the workbook." type="5" refreshedVersion="7" background="1" saveData="1">
    <dbPr connection="Provider=Microsoft.Mashup.OleDb.1;Data Source=$Workbook$;Location=&quot;Table051 (Page 73) (2)&quot;;Extended Properties=&quot;&quot;" command="SELECT * FROM [Table051 (Page 73) (2)]"/>
  </connection>
  <connection id="13" xr16:uid="{D7EF743F-73A8-48AA-89C9-055BDBD8E9F4}" name="Query - Table052 (Page 74)" description="Connection to the 'Table052 (Page 74)' query in the workbook." type="100" refreshedVersion="7" minRefreshableVersion="5">
    <extLst>
      <ext xmlns:x15="http://schemas.microsoft.com/office/spreadsheetml/2010/11/main" uri="{DE250136-89BD-433C-8126-D09CA5730AF9}">
        <x15:connection id="c05da239-4b64-4aaf-80a4-7fbb902f9a10"/>
      </ext>
    </extLst>
  </connection>
  <connection id="14" xr16:uid="{8FBA2756-3BB6-4517-9457-CDC2AA12E4C6}" keepAlive="1" name="Query - Table052 (Page 74) (2)" description="Connection to the 'Table052 (Page 74) (2)' query in the workbook." type="5" refreshedVersion="7" background="1" saveData="1">
    <dbPr connection="Provider=Microsoft.Mashup.OleDb.1;Data Source=$Workbook$;Location=&quot;Table052 (Page 74) (2)&quot;;Extended Properties=&quot;&quot;" command="SELECT * FROM [Table052 (Page 74) (2)]"/>
  </connection>
  <connection id="15" xr16:uid="{DAF13011-B867-47E4-863B-5979034D509A}" keepAlive="1" name="ThisWorkbookDataModel" description="Data Model" type="5" refreshedVersion="7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<sst xmlns="http://schemas.openxmlformats.org/spreadsheetml/2006/main" count="180" uniqueCount="74">
  <si>
    <t>‫مرور ادبیات‬</t>
  </si>
  <si>
    <t>‫منفی‬‏</t>
  </si>
  <si>
    <t>‫بازاریابی‬‏</t>
  </si>
  <si>
    <t>‫ریسکهای حمل و نقلی‬‏</t>
  </si>
  <si>
    <t>‫شناخت بازار‬‏</t>
  </si>
  <si>
    <t>‫دشواری در تعیین نیازهای مشتری‬‏</t>
  </si>
  <si>
    <t>‫نوسان تقاضای مشتری‬‏</t>
  </si>
  <si>
    <t>‫تغییر نیازهای بازار‬‏</t>
  </si>
  <si>
    <t>‫وجود محدودیت زمانی برای خرید‬‏</t>
  </si>
  <si>
    <t>‫کمبود مواد و تامین مواد اولیه‬‏</t>
  </si>
  <si>
    <t>‫قرارداد با تامین کنندگان جدی د‬‏</t>
  </si>
  <si>
    <t>‫وجود مشکلات کیفی در مواد اولیه‬‏
‫ورودی به کارخانه‬‏</t>
  </si>
  <si>
    <t>‫ریسک استفاده کم از مواد افزودنی مجاز‬</t>
  </si>
  <si>
    <t>‫ریسک استفاده زیاد از مواد افزودنی‬</t>
  </si>
  <si>
    <t>‫کمبود پرسنل فنی‬‏</t>
  </si>
  <si>
    <t>‫تغییرات پی در پی مدیریتی‬‏</t>
  </si>
  <si>
    <t>‫فقدان تجربه کافی در برخی نیروها‬‏</t>
  </si>
  <si>
    <t>‫حمایت مدیریت ارشد‬‏</t>
  </si>
  <si>
    <t>‫وجود جو خلاق در شرکت‬‏</t>
  </si>
  <si>
    <t>‫ریسک دست آوردهای جدید دانشی‬</t>
  </si>
  <si>
    <t>کد ریسک</t>
  </si>
  <si>
    <t>گروه ریسک</t>
  </si>
  <si>
    <t>نوع ریسک</t>
  </si>
  <si>
    <t>نام ریسک</t>
  </si>
  <si>
    <t>نحوه شناسایی</t>
  </si>
  <si>
    <t>مثبت</t>
  </si>
  <si>
    <t>تولید</t>
  </si>
  <si>
    <t>منفی</t>
  </si>
  <si>
    <t>مالی</t>
  </si>
  <si>
    <t>سازمانی</t>
  </si>
  <si>
    <t>دانشی</t>
  </si>
  <si>
    <t>‫چگونگی استفاده از محصول</t>
  </si>
  <si>
    <t>‫عدم جذابیت محصول برای بازار‬‏</t>
  </si>
  <si>
    <t>‫عدم وجود کانال های بازاریابی مناسب‬‏</t>
  </si>
  <si>
    <t>‫قیمت محصول انتظارات بازار را افزایش‬ می دهد‏</t>
  </si>
  <si>
    <t>ریسک آسیب دیدگی به بسته بندی محصول در هنگام حمل و نقل، بارگیری و تخلیه</t>
  </si>
  <si>
    <t>ریسک کاهش هزینه های مشتریان با تهیه محصولات شرکت</t>
  </si>
  <si>
    <t>ریسک بارندگی در هنگام تولید محصولات و ایجاد کپک زدگی</t>
  </si>
  <si>
    <t>تولید با بسته بندی سنگین و دشواری نگهداری برای مشتریان</t>
  </si>
  <si>
    <t>ریسک تولید با بسته بندی سبک و مصرف زیاد پلاستیک</t>
  </si>
  <si>
    <t>‫ریسک عدم توانایی تولید دائمی محصول(در تمام فصل های سال)</t>
  </si>
  <si>
    <t>ریسک عدم همکاری تامین کنندگان زمین های کشاورزی با استفاده از روش های نوین در زمین آنها</t>
  </si>
  <si>
    <t>مشارکت تامین کنندگان در فرآیندهای توسعه محصول</t>
  </si>
  <si>
    <t>‫بحران اقتصادی‬‏</t>
  </si>
  <si>
    <t>‫عدم تأمین منابع مالی‬‏</t>
  </si>
  <si>
    <t>‫ریسک عدم وصول مطالبات شرکت‬</t>
  </si>
  <si>
    <t>‫برنامه ریزی نادرست برای منابع مالی‬‏موجود‬‏</t>
  </si>
  <si>
    <t>عدم تایید بانک برای فراهم کردن تسهیلات مالی</t>
  </si>
  <si>
    <t>ریسک دریافت تسهیلات مالی جهت پروژه توسعه محصول جدید</t>
  </si>
  <si>
    <t>‫ریسک فعالیتهای فعالانه تیم تحقیق و‬ توسعه</t>
  </si>
  <si>
    <t>ریسک جاسوسی اطلاعاتی از عوامل تولید توسط رقبا</t>
  </si>
  <si>
    <t>بکارگیری تجربیات بدست آمده از پروژه های پیشین توسعه محصول</t>
  </si>
  <si>
    <t>‫تحقیقات‬ میدانی (جلسه با خبرگان)</t>
  </si>
  <si>
    <t>مرور ادبیات</t>
  </si>
  <si>
    <t>‫ریسک کارکرد مورد انتظار محصول</t>
  </si>
  <si>
    <t>امتیاز احتمال</t>
  </si>
  <si>
    <t>امتیاز شدت اثر بر R</t>
  </si>
  <si>
    <t>امتیاز شدت اثر بر F</t>
  </si>
  <si>
    <t>امتیاز شدت اثر بر C</t>
  </si>
  <si>
    <t>حداکثر امتیاز بین RFC</t>
  </si>
  <si>
    <t>قدر مطلق حاصل ضرب امتیاز احتمال و RFC</t>
  </si>
  <si>
    <t>P</t>
  </si>
  <si>
    <t>C</t>
  </si>
  <si>
    <t>Code</t>
  </si>
  <si>
    <t>R</t>
  </si>
  <si>
    <t>F</t>
  </si>
  <si>
    <t>خوشه 1</t>
  </si>
  <si>
    <t>خوشه 3</t>
  </si>
  <si>
    <t>خوشه 2</t>
  </si>
  <si>
    <t>خوشه 4</t>
  </si>
  <si>
    <t>P میانگین</t>
  </si>
  <si>
    <t>R میانگین</t>
  </si>
  <si>
    <t>F میانگین</t>
  </si>
  <si>
    <t>C میانگین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</si>
</sst>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B Nazanin"/>
      <charset val="178"/>
    </font>
  </fonts>
  <fills count="4">
    <fill>
      <patternFill patternType="none"/>
    </fill>
    <fill>
      <patternFill patternType="gray125"/>
    </fill>
    <fill>
      <patternFill patternType="solid">
        <fgColor theme="6"/>
        <bgColor theme="6"/>
      </patternFill>
    </fill>
    <fill>
      <patternFill patternType="solid">
        <fgColor theme="6" tint="0.79998168889431442"/>
        <bgColor theme="6" tint="0.79998168889431442"/>
      </patternFill>
    </fill>
  </fills>
  <borders count="4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6" tint="0.39997558519241921"/>
      </left>
      <right/>
      <top style="thin">
        <color theme="6" tint="0.39997558519241921"/>
      </top>
      <bottom style="thin">
        <color theme="6" tint="0.39997558519241921"/>
      </bottom>
      <diagonal/>
    </border>
    <border>
      <left/>
      <right/>
      <top style="thin">
        <color theme="6" tint="0.39997558519241921"/>
      </top>
      <bottom style="thin">
        <color theme="6" tint="0.3999755851924192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NumberFormat="1" applyFont="1" applyBorder="1"/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0" fillId="0" borderId="0" xfId="0" applyNumberFormat="1"/>
    <xf numFmtId="0" fontId="2" fillId="2" borderId="2" xfId="0" applyFont="1" applyFill="1" applyBorder="1"/>
    <xf numFmtId="0" fontId="2" fillId="2" borderId="3" xfId="0" applyFont="1" applyFill="1" applyBorder="1"/>
    <xf numFmtId="0" fontId="0" fillId="3" borderId="2" xfId="0" applyFont="1" applyFill="1" applyBorder="1"/>
    <xf numFmtId="0" fontId="0" fillId="3" borderId="3" xfId="0" applyFont="1" applyFill="1" applyBorder="1"/>
    <xf numFmtId="0" fontId="0" fillId="0" borderId="2" xfId="0" applyFont="1" applyBorder="1"/>
    <xf numFmtId="0" fontId="0" fillId="0" borderId="3" xfId="0" applyFont="1" applyBorder="1"/>
    <xf numFmtId="0" fontId="0" fillId="3" borderId="3" xfId="0" applyNumberFormat="1" applyFont="1" applyFill="1" applyBorder="1"/>
    <xf numFmtId="0" fontId="0" fillId="0" borderId="3" xfId="0" applyNumberFormat="1" applyFont="1" applyBorder="1"/>
    <xf numFmtId="2" fontId="0" fillId="0" borderId="0" xfId="0" applyNumberFormat="1"/>
    <xf numFmtId="0" fontId="3" fillId="0" borderId="0" xfId="0" applyFont="1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E03720"/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owerPivotData" Target="model/item.data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10" Type="http://schemas.openxmlformats.org/officeDocument/2006/relationships/customXml" Target="../customXml/item1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Sheet4!$B$5</c:f>
              <c:strCache>
                <c:ptCount val="1"/>
                <c:pt idx="0">
                  <c:v>خوشه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Sheet4!$C$4:$F$4</c:f>
              <c:strCache>
                <c:ptCount val="4"/>
                <c:pt idx="0">
                  <c:v>P میانگین</c:v>
                </c:pt>
                <c:pt idx="1">
                  <c:v>R میانگین</c:v>
                </c:pt>
                <c:pt idx="2">
                  <c:v>F میانگین</c:v>
                </c:pt>
                <c:pt idx="3">
                  <c:v>C میانگین</c:v>
                </c:pt>
              </c:strCache>
            </c:strRef>
          </c:cat>
          <c:val>
            <c:numRef>
              <c:f>Sheet4!$C$5:$F$5</c:f>
              <c:numCache>
                <c:formatCode>General</c:formatCode>
                <c:ptCount val="4"/>
                <c:pt idx="0">
                  <c:v>3.64</c:v>
                </c:pt>
                <c:pt idx="1">
                  <c:v>-3.52</c:v>
                </c:pt>
                <c:pt idx="2">
                  <c:v>-1.76</c:v>
                </c:pt>
                <c:pt idx="3">
                  <c:v>-3.5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71-4E00-A5BE-86BBDAFAB72C}"/>
            </c:ext>
          </c:extLst>
        </c:ser>
        <c:ser>
          <c:idx val="1"/>
          <c:order val="1"/>
          <c:tx>
            <c:strRef>
              <c:f>Sheet4!$B$6</c:f>
              <c:strCache>
                <c:ptCount val="1"/>
                <c:pt idx="0">
                  <c:v>خوشه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Sheet4!$C$4:$F$4</c:f>
              <c:strCache>
                <c:ptCount val="4"/>
                <c:pt idx="0">
                  <c:v>P میانگین</c:v>
                </c:pt>
                <c:pt idx="1">
                  <c:v>R میانگین</c:v>
                </c:pt>
                <c:pt idx="2">
                  <c:v>F میانگین</c:v>
                </c:pt>
                <c:pt idx="3">
                  <c:v>C میانگین</c:v>
                </c:pt>
              </c:strCache>
            </c:strRef>
          </c:cat>
          <c:val>
            <c:numRef>
              <c:f>Sheet4!$C$6:$F$6</c:f>
              <c:numCache>
                <c:formatCode>General</c:formatCode>
                <c:ptCount val="4"/>
                <c:pt idx="0">
                  <c:v>3.26</c:v>
                </c:pt>
                <c:pt idx="1">
                  <c:v>3.03</c:v>
                </c:pt>
                <c:pt idx="2">
                  <c:v>2.0099999999999998</c:v>
                </c:pt>
                <c:pt idx="3">
                  <c:v>2.0499999999999998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C71-4E00-A5BE-86BBDAFAB72C}"/>
            </c:ext>
          </c:extLst>
        </c:ser>
        <c:ser>
          <c:idx val="2"/>
          <c:order val="2"/>
          <c:tx>
            <c:strRef>
              <c:f>Sheet4!$B$7</c:f>
              <c:strCache>
                <c:ptCount val="1"/>
                <c:pt idx="0">
                  <c:v>خوشه 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Sheet4!$C$4:$F$4</c:f>
              <c:strCache>
                <c:ptCount val="4"/>
                <c:pt idx="0">
                  <c:v>P میانگین</c:v>
                </c:pt>
                <c:pt idx="1">
                  <c:v>R میانگین</c:v>
                </c:pt>
                <c:pt idx="2">
                  <c:v>F میانگین</c:v>
                </c:pt>
                <c:pt idx="3">
                  <c:v>C میانگین</c:v>
                </c:pt>
              </c:strCache>
            </c:strRef>
          </c:cat>
          <c:val>
            <c:numRef>
              <c:f>Sheet4!$C$7:$F$7</c:f>
              <c:numCache>
                <c:formatCode>General</c:formatCode>
                <c:ptCount val="4"/>
                <c:pt idx="0">
                  <c:v>3.58</c:v>
                </c:pt>
                <c:pt idx="1">
                  <c:v>-3.6</c:v>
                </c:pt>
                <c:pt idx="2">
                  <c:v>-3.76</c:v>
                </c:pt>
                <c:pt idx="3">
                  <c:v>-2.83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C71-4E00-A5BE-86BBDAFAB72C}"/>
            </c:ext>
          </c:extLst>
        </c:ser>
        <c:ser>
          <c:idx val="3"/>
          <c:order val="3"/>
          <c:tx>
            <c:strRef>
              <c:f>Sheet4!$B$8</c:f>
              <c:strCache>
                <c:ptCount val="1"/>
                <c:pt idx="0">
                  <c:v>خوشه 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Sheet4!$C$4:$F$4</c:f>
              <c:strCache>
                <c:ptCount val="4"/>
                <c:pt idx="0">
                  <c:v>P میانگین</c:v>
                </c:pt>
                <c:pt idx="1">
                  <c:v>R میانگین</c:v>
                </c:pt>
                <c:pt idx="2">
                  <c:v>F میانگین</c:v>
                </c:pt>
                <c:pt idx="3">
                  <c:v>C میانگین</c:v>
                </c:pt>
              </c:strCache>
            </c:strRef>
          </c:cat>
          <c:val>
            <c:numRef>
              <c:f>Sheet4!$C$8:$F$8</c:f>
              <c:numCache>
                <c:formatCode>General</c:formatCode>
                <c:ptCount val="4"/>
                <c:pt idx="0">
                  <c:v>2.67</c:v>
                </c:pt>
                <c:pt idx="1">
                  <c:v>-2.33</c:v>
                </c:pt>
                <c:pt idx="2">
                  <c:v>-2.2999999999999998</c:v>
                </c:pt>
                <c:pt idx="3">
                  <c:v>-1.29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C71-4E00-A5BE-86BBDAFAB72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98816048"/>
        <c:axId val="798816880"/>
      </c:barChart>
      <c:catAx>
        <c:axId val="798816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8816880"/>
        <c:crosses val="autoZero"/>
        <c:auto val="1"/>
        <c:lblAlgn val="ctr"/>
        <c:lblOffset val="100"/>
        <c:noMultiLvlLbl val="0"/>
      </c:catAx>
      <c:valAx>
        <c:axId val="798816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88160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407194</xdr:colOff>
      <xdr:row>4</xdr:row>
      <xdr:rowOff>192881</xdr:rowOff>
    </xdr:from>
    <xdr:to>
      <xdr:col>15</xdr:col>
      <xdr:colOff>71438</xdr:colOff>
      <xdr:row>22</xdr:row>
      <xdr:rowOff>166688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9C06683-B7A7-9101-9599-2A0DDAE812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6DB65B9-6161-4056-B514-0F5A999750FD}" name="Table5" displayName="Table5" ref="A1:K40" totalsRowShown="0">
  <autoFilter ref="A1:K40" xr:uid="{A6DB65B9-6161-4056-B514-0F5A999750FD}"/>
  <tableColumns count="11">
    <tableColumn id="1" xr3:uid="{357C60F7-34D6-4172-9CF2-A8758CE784E8}" name="کد ریسک">
      <calculatedColumnFormula>A1+1</calculatedColumnFormula>
    </tableColumn>
    <tableColumn id="2" xr3:uid="{EEB2C540-2C7A-474E-860F-E72881477D4E}" name="گروه ریسک"/>
    <tableColumn id="3" xr3:uid="{F37D175D-54E2-4F7F-A58A-687E6AD45693}" name="نوع ریسک"/>
    <tableColumn id="4" xr3:uid="{48377D08-FDCE-4A8D-8A5F-906DB4A2E002}" name="نام ریسک"/>
    <tableColumn id="5" xr3:uid="{7DA03A05-5FA9-4453-844C-9FE9B83113C0}" name="نحوه شناسایی"/>
    <tableColumn id="6" xr3:uid="{80C601E4-1A66-4FD4-8B6F-D44B6E67AEE4}" name="امتیاز احتمال"/>
    <tableColumn id="7" xr3:uid="{E28DB2DE-C17B-47D6-9179-995AA4FDFAEC}" name="امتیاز شدت اثر بر R"/>
    <tableColumn id="8" xr3:uid="{13366A69-2A66-4349-8340-1B5FB9149336}" name="امتیاز شدت اثر بر F"/>
    <tableColumn id="9" xr3:uid="{08B1ACC8-67A1-468B-B315-C31252D6D13D}" name="امتیاز شدت اثر بر C"/>
    <tableColumn id="10" xr3:uid="{EA6D21BF-36B9-4A4A-BE75-A97D79EB9F12}" name="حداکثر امتیاز بین RFC" dataDxfId="1">
      <calculatedColumnFormula>-4.3</calculatedColumnFormula>
    </tableColumn>
    <tableColumn id="11" xr3:uid="{CBBF9628-308F-4F9B-8224-CF3325DBDF7E}" name="قدر مطلق حاصل ضرب امتیاز احتمال و RFC" dataDxfId="0">
      <calculatedColumnFormula>ABS(PRODUCT(Table5[[#This Row],[امتیاز احتمال]:[امتیاز شدت اثر بر C]]))</calculatedColumnFormula>
    </tableColumn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0"/>
  <sheetViews>
    <sheetView rightToLeft="1" tabSelected="1" topLeftCell="A13" workbookViewId="0">
      <selection activeCell="M34" sqref="M34"/>
    </sheetView>
  </sheetViews>
  <sheetFormatPr defaultRowHeight="14.25" x14ac:dyDescent="0.45"/>
  <cols>
    <col min="1" max="1" width="9.265625" customWidth="1"/>
    <col min="2" max="2" width="10.59765625" customWidth="1"/>
    <col min="3" max="3" width="9.6640625" customWidth="1"/>
    <col min="4" max="4" width="28.59765625" customWidth="1"/>
    <col min="5" max="5" width="11.796875" customWidth="1"/>
  </cols>
  <sheetData>
    <row r="1" spans="1:11" x14ac:dyDescent="0.45">
      <c r="A1" t="s">
        <v>20</v>
      </c>
      <c r="B1" t="s">
        <v>21</v>
      </c>
      <c r="C1" t="s">
        <v>22</v>
      </c>
      <c r="D1" t="s">
        <v>23</v>
      </c>
      <c r="E1" t="s">
        <v>24</v>
      </c>
      <c r="F1" t="s">
        <v>55</v>
      </c>
      <c r="G1" t="s">
        <v>56</v>
      </c>
      <c r="H1" t="s">
        <v>57</v>
      </c>
      <c r="I1" t="s">
        <v>58</v>
      </c>
      <c r="J1" t="s">
        <v>59</v>
      </c>
      <c r="K1" t="s">
        <v>60</v>
      </c>
    </row>
    <row r="2" spans="1:11" x14ac:dyDescent="0.45">
      <c r="A2">
        <v>1</v>
      </c>
      <c r="B2" t="s">
        <v>2</v>
      </c>
      <c r="C2" t="s">
        <v>1</v>
      </c>
      <c r="D2" t="s">
        <v>54</v>
      </c>
      <c r="E2" t="s">
        <v>0</v>
      </c>
      <c r="F2" s="4">
        <v>2.2999999999999998</v>
      </c>
      <c r="G2" s="4">
        <v>-3.6</v>
      </c>
      <c r="H2" s="4">
        <v>-4.3</v>
      </c>
      <c r="I2" s="4">
        <v>-1.6</v>
      </c>
      <c r="J2" s="4">
        <f t="shared" ref="J2" si="0">-4.3</f>
        <v>-4.3</v>
      </c>
      <c r="K2">
        <f>ABS(PRODUCT(Table5[[#This Row],[امتیاز احتمال]:[امتیاز شدت اثر بر C]]))</f>
        <v>56.9664</v>
      </c>
    </row>
    <row r="3" spans="1:11" x14ac:dyDescent="0.45">
      <c r="A3">
        <f>A2+1</f>
        <v>2</v>
      </c>
      <c r="B3" t="s">
        <v>2</v>
      </c>
      <c r="C3" t="s">
        <v>1</v>
      </c>
      <c r="D3" t="s">
        <v>31</v>
      </c>
      <c r="E3" t="s">
        <v>0</v>
      </c>
      <c r="F3" s="4">
        <v>3.6</v>
      </c>
      <c r="G3" s="4">
        <v>-3.6</v>
      </c>
      <c r="H3" s="4">
        <v>-4.3</v>
      </c>
      <c r="I3" s="4">
        <v>-2.6</v>
      </c>
      <c r="J3" s="4">
        <f>-4.3</f>
        <v>-4.3</v>
      </c>
      <c r="K3">
        <f>ABS(PRODUCT(Table5[[#This Row],[امتیاز احتمال]:[امتیاز شدت اثر بر C]]))</f>
        <v>144.89280000000002</v>
      </c>
    </row>
    <row r="4" spans="1:11" x14ac:dyDescent="0.45">
      <c r="A4">
        <f t="shared" ref="A4:A40" si="1">A3+1</f>
        <v>3</v>
      </c>
      <c r="B4" t="s">
        <v>2</v>
      </c>
      <c r="C4" t="s">
        <v>1</v>
      </c>
      <c r="D4" t="s">
        <v>3</v>
      </c>
      <c r="E4" t="s">
        <v>0</v>
      </c>
      <c r="F4" s="4">
        <v>3</v>
      </c>
      <c r="G4" s="4">
        <v>-1.3</v>
      </c>
      <c r="H4" s="4">
        <v>-2</v>
      </c>
      <c r="I4" s="4">
        <v>-1.6</v>
      </c>
      <c r="J4" s="4">
        <f>-2</f>
        <v>-2</v>
      </c>
      <c r="K4">
        <f>ABS(PRODUCT(Table5[[#This Row],[امتیاز احتمال]:[امتیاز شدت اثر بر C]]))</f>
        <v>12.480000000000002</v>
      </c>
    </row>
    <row r="5" spans="1:11" x14ac:dyDescent="0.45">
      <c r="A5">
        <f t="shared" si="1"/>
        <v>4</v>
      </c>
      <c r="B5" t="s">
        <v>2</v>
      </c>
      <c r="C5" t="s">
        <v>1</v>
      </c>
      <c r="D5" t="s">
        <v>4</v>
      </c>
      <c r="E5" t="s">
        <v>0</v>
      </c>
      <c r="F5" s="4">
        <v>3.3</v>
      </c>
      <c r="G5" s="4">
        <v>-1.6</v>
      </c>
      <c r="H5" s="4">
        <v>-2.6</v>
      </c>
      <c r="I5" s="4">
        <v>-1</v>
      </c>
      <c r="J5" s="4">
        <f>Table5[[#This Row],[امتیاز شدت اثر بر F]]</f>
        <v>-2.6</v>
      </c>
      <c r="K5">
        <f>ABS(PRODUCT(Table5[[#This Row],[امتیاز احتمال]:[امتیاز شدت اثر بر C]]))</f>
        <v>13.728000000000002</v>
      </c>
    </row>
    <row r="6" spans="1:11" x14ac:dyDescent="0.45">
      <c r="A6">
        <f t="shared" si="1"/>
        <v>5</v>
      </c>
      <c r="B6" t="s">
        <v>2</v>
      </c>
      <c r="C6" t="s">
        <v>1</v>
      </c>
      <c r="D6" t="s">
        <v>32</v>
      </c>
      <c r="E6" t="s">
        <v>0</v>
      </c>
      <c r="F6" s="4">
        <v>1.3</v>
      </c>
      <c r="G6" s="4">
        <v>-3.3</v>
      </c>
      <c r="H6" s="4">
        <v>-3</v>
      </c>
      <c r="I6" s="4">
        <v>-1</v>
      </c>
      <c r="J6" s="4">
        <f>Table5[[#This Row],[امتیاز شدت اثر بر R]]</f>
        <v>-3.3</v>
      </c>
      <c r="K6">
        <f>ABS(PRODUCT(Table5[[#This Row],[امتیاز احتمال]:[امتیاز شدت اثر بر C]]))</f>
        <v>12.870000000000001</v>
      </c>
    </row>
    <row r="7" spans="1:11" x14ac:dyDescent="0.45">
      <c r="A7">
        <f t="shared" si="1"/>
        <v>6</v>
      </c>
      <c r="B7" t="s">
        <v>2</v>
      </c>
      <c r="C7" t="s">
        <v>1</v>
      </c>
      <c r="D7" t="s">
        <v>33</v>
      </c>
      <c r="E7" t="s">
        <v>0</v>
      </c>
      <c r="F7" s="4">
        <v>2</v>
      </c>
      <c r="G7" s="4">
        <v>-3</v>
      </c>
      <c r="H7" s="4">
        <v>-3</v>
      </c>
      <c r="I7" s="4">
        <v>-1</v>
      </c>
      <c r="J7" s="4">
        <f>Table5[[#This Row],[امتیاز شدت اثر بر F]]</f>
        <v>-3</v>
      </c>
      <c r="K7">
        <f>ABS(PRODUCT(Table5[[#This Row],[امتیاز احتمال]:[امتیاز شدت اثر بر C]]))</f>
        <v>18</v>
      </c>
    </row>
    <row r="8" spans="1:11" x14ac:dyDescent="0.45">
      <c r="A8">
        <f t="shared" si="1"/>
        <v>7</v>
      </c>
      <c r="B8" t="s">
        <v>2</v>
      </c>
      <c r="C8" t="s">
        <v>1</v>
      </c>
      <c r="D8" t="s">
        <v>5</v>
      </c>
      <c r="E8" t="s">
        <v>0</v>
      </c>
      <c r="F8" s="4">
        <v>1.6</v>
      </c>
      <c r="G8" s="4">
        <v>-1</v>
      </c>
      <c r="H8" s="4">
        <v>-1.6</v>
      </c>
      <c r="I8" s="4">
        <v>-1.6</v>
      </c>
      <c r="J8" s="4">
        <f>Table5[[#This Row],[امتیاز شدت اثر بر F]]</f>
        <v>-1.6</v>
      </c>
      <c r="K8">
        <f>ABS(PRODUCT(Table5[[#This Row],[امتیاز احتمال]:[امتیاز شدت اثر بر C]]))</f>
        <v>4.096000000000001</v>
      </c>
    </row>
    <row r="9" spans="1:11" x14ac:dyDescent="0.45">
      <c r="A9">
        <f t="shared" si="1"/>
        <v>8</v>
      </c>
      <c r="B9" t="s">
        <v>2</v>
      </c>
      <c r="C9" t="s">
        <v>1</v>
      </c>
      <c r="D9" t="s">
        <v>6</v>
      </c>
      <c r="E9" t="s">
        <v>0</v>
      </c>
      <c r="F9" s="4">
        <v>3.6</v>
      </c>
      <c r="G9" s="4">
        <v>-3.6</v>
      </c>
      <c r="H9" s="4">
        <v>-1</v>
      </c>
      <c r="I9" s="4">
        <v>-1</v>
      </c>
      <c r="J9" s="4">
        <f>Table5[[#This Row],[امتیاز شدت اثر بر R]]</f>
        <v>-3.6</v>
      </c>
      <c r="K9">
        <f>ABS(PRODUCT(Table5[[#This Row],[امتیاز احتمال]:[امتیاز شدت اثر بر C]]))</f>
        <v>12.96</v>
      </c>
    </row>
    <row r="10" spans="1:11" x14ac:dyDescent="0.45">
      <c r="A10">
        <f t="shared" si="1"/>
        <v>9</v>
      </c>
      <c r="B10" t="s">
        <v>2</v>
      </c>
      <c r="C10" t="s">
        <v>1</v>
      </c>
      <c r="D10" t="s">
        <v>7</v>
      </c>
      <c r="E10" t="s">
        <v>0</v>
      </c>
      <c r="F10" s="4">
        <v>1.3</v>
      </c>
      <c r="G10" s="4">
        <v>-1</v>
      </c>
      <c r="H10" s="4">
        <v>-2.6</v>
      </c>
      <c r="I10" s="4">
        <v>-1</v>
      </c>
      <c r="J10" s="4">
        <f>Table5[[#This Row],[امتیاز شدت اثر بر F]]</f>
        <v>-2.6</v>
      </c>
      <c r="K10">
        <f>ABS(PRODUCT(Table5[[#This Row],[امتیاز احتمال]:[امتیاز شدت اثر بر C]]))</f>
        <v>3.3800000000000003</v>
      </c>
    </row>
    <row r="11" spans="1:11" x14ac:dyDescent="0.45">
      <c r="A11">
        <f t="shared" si="1"/>
        <v>10</v>
      </c>
      <c r="B11" t="s">
        <v>2</v>
      </c>
      <c r="C11" t="s">
        <v>1</v>
      </c>
      <c r="D11" s="3" t="s">
        <v>34</v>
      </c>
      <c r="E11" t="s">
        <v>0</v>
      </c>
      <c r="F11">
        <v>4</v>
      </c>
      <c r="G11">
        <v>-2</v>
      </c>
      <c r="H11">
        <v>-3</v>
      </c>
      <c r="I11">
        <v>-1</v>
      </c>
      <c r="J11" s="4">
        <f>Table5[[#This Row],[امتیاز شدت اثر بر F]]</f>
        <v>-3</v>
      </c>
      <c r="K11">
        <f>ABS(PRODUCT(Table5[[#This Row],[امتیاز احتمال]:[امتیاز شدت اثر بر C]]))</f>
        <v>24</v>
      </c>
    </row>
    <row r="12" spans="1:11" x14ac:dyDescent="0.45">
      <c r="A12">
        <f t="shared" si="1"/>
        <v>11</v>
      </c>
      <c r="B12" t="s">
        <v>2</v>
      </c>
      <c r="C12" t="s">
        <v>1</v>
      </c>
      <c r="D12" t="s">
        <v>35</v>
      </c>
      <c r="E12" t="s">
        <v>52</v>
      </c>
      <c r="F12">
        <v>3.6</v>
      </c>
      <c r="G12">
        <v>-4</v>
      </c>
      <c r="H12">
        <v>-4</v>
      </c>
      <c r="I12">
        <v>-3</v>
      </c>
      <c r="J12" s="4">
        <f>Table5[[#This Row],[امتیاز شدت اثر بر F]]</f>
        <v>-4</v>
      </c>
      <c r="K12">
        <f>ABS(PRODUCT(Table5[[#This Row],[امتیاز احتمال]:[امتیاز شدت اثر بر C]]))</f>
        <v>172.8</v>
      </c>
    </row>
    <row r="13" spans="1:11" x14ac:dyDescent="0.45">
      <c r="A13">
        <f t="shared" si="1"/>
        <v>12</v>
      </c>
      <c r="B13" t="s">
        <v>2</v>
      </c>
      <c r="C13" t="s">
        <v>25</v>
      </c>
      <c r="D13" t="s">
        <v>36</v>
      </c>
      <c r="E13" t="s">
        <v>52</v>
      </c>
      <c r="F13">
        <v>3.6</v>
      </c>
      <c r="G13">
        <v>4</v>
      </c>
      <c r="H13">
        <v>4.3</v>
      </c>
      <c r="I13">
        <v>1</v>
      </c>
      <c r="J13" s="4">
        <f>Table5[[#This Row],[امتیاز شدت اثر بر F]]</f>
        <v>4.3</v>
      </c>
      <c r="K13">
        <f>ABS(PRODUCT(Table5[[#This Row],[امتیاز احتمال]:[امتیاز شدت اثر بر C]]))</f>
        <v>61.92</v>
      </c>
    </row>
    <row r="14" spans="1:11" x14ac:dyDescent="0.45">
      <c r="A14">
        <f t="shared" si="1"/>
        <v>13</v>
      </c>
      <c r="B14" t="s">
        <v>26</v>
      </c>
      <c r="C14" t="s">
        <v>27</v>
      </c>
      <c r="D14" t="s">
        <v>8</v>
      </c>
      <c r="E14" t="s">
        <v>53</v>
      </c>
      <c r="F14">
        <v>3.6</v>
      </c>
      <c r="G14">
        <v>-4.5999999999999996</v>
      </c>
      <c r="H14">
        <v>-1.6</v>
      </c>
      <c r="I14">
        <v>-3.6</v>
      </c>
      <c r="J14" s="4">
        <f>Table5[[#This Row],[امتیاز شدت اثر بر R]]</f>
        <v>-4.5999999999999996</v>
      </c>
      <c r="K14">
        <f>ABS(PRODUCT(Table5[[#This Row],[امتیاز احتمال]:[امتیاز شدت اثر بر C]]))</f>
        <v>95.385599999999997</v>
      </c>
    </row>
    <row r="15" spans="1:11" x14ac:dyDescent="0.45">
      <c r="A15">
        <f t="shared" si="1"/>
        <v>14</v>
      </c>
      <c r="B15" t="s">
        <v>26</v>
      </c>
      <c r="C15" t="s">
        <v>27</v>
      </c>
      <c r="D15" t="s">
        <v>9</v>
      </c>
      <c r="E15" t="s">
        <v>53</v>
      </c>
      <c r="F15">
        <v>2.2999999999999998</v>
      </c>
      <c r="G15">
        <v>-4</v>
      </c>
      <c r="H15">
        <v>-3</v>
      </c>
      <c r="I15">
        <v>-3.3</v>
      </c>
      <c r="J15" s="4">
        <f>Table5[[#This Row],[امتیاز شدت اثر بر R]]</f>
        <v>-4</v>
      </c>
      <c r="K15">
        <f>ABS(PRODUCT(Table5[[#This Row],[امتیاز احتمال]:[امتیاز شدت اثر بر C]]))</f>
        <v>91.079999999999984</v>
      </c>
    </row>
    <row r="16" spans="1:11" x14ac:dyDescent="0.45">
      <c r="A16">
        <f t="shared" si="1"/>
        <v>15</v>
      </c>
      <c r="B16" t="s">
        <v>26</v>
      </c>
      <c r="C16" t="s">
        <v>27</v>
      </c>
      <c r="D16" t="s">
        <v>10</v>
      </c>
      <c r="E16" t="s">
        <v>53</v>
      </c>
      <c r="F16">
        <v>3</v>
      </c>
      <c r="G16">
        <v>-3</v>
      </c>
      <c r="H16">
        <v>-1</v>
      </c>
      <c r="I16">
        <v>-4</v>
      </c>
      <c r="J16" s="4">
        <f>Table5[[#This Row],[امتیاز شدت اثر بر C]]</f>
        <v>-4</v>
      </c>
      <c r="K16">
        <f>ABS(PRODUCT(Table5[[#This Row],[امتیاز احتمال]:[امتیاز شدت اثر بر C]]))</f>
        <v>36</v>
      </c>
    </row>
    <row r="17" spans="1:11" x14ac:dyDescent="0.45">
      <c r="A17">
        <f t="shared" si="1"/>
        <v>16</v>
      </c>
      <c r="B17" t="s">
        <v>26</v>
      </c>
      <c r="C17" t="s">
        <v>27</v>
      </c>
      <c r="D17" t="s">
        <v>11</v>
      </c>
      <c r="E17" t="s">
        <v>53</v>
      </c>
      <c r="F17">
        <v>4</v>
      </c>
      <c r="G17">
        <v>-3.6</v>
      </c>
      <c r="H17">
        <v>-3.6</v>
      </c>
      <c r="I17">
        <v>-4</v>
      </c>
      <c r="J17" s="4">
        <f>Table5[[#This Row],[امتیاز شدت اثر بر C]]</f>
        <v>-4</v>
      </c>
      <c r="K17">
        <f>ABS(PRODUCT(Table5[[#This Row],[امتیاز احتمال]:[امتیاز شدت اثر بر C]]))</f>
        <v>207.36</v>
      </c>
    </row>
    <row r="18" spans="1:11" x14ac:dyDescent="0.45">
      <c r="A18">
        <f t="shared" si="1"/>
        <v>17</v>
      </c>
      <c r="B18" t="s">
        <v>26</v>
      </c>
      <c r="C18" t="s">
        <v>27</v>
      </c>
      <c r="D18" t="s">
        <v>37</v>
      </c>
      <c r="E18" t="s">
        <v>52</v>
      </c>
      <c r="F18">
        <v>4</v>
      </c>
      <c r="G18">
        <v>-3.6</v>
      </c>
      <c r="H18">
        <v>-4</v>
      </c>
      <c r="I18">
        <v>-4</v>
      </c>
      <c r="J18" s="4">
        <f>Table5[[#This Row],[امتیاز شدت اثر بر F]]</f>
        <v>-4</v>
      </c>
      <c r="K18">
        <f>ABS(PRODUCT(Table5[[#This Row],[امتیاز احتمال]:[امتیاز شدت اثر بر C]]))</f>
        <v>230.4</v>
      </c>
    </row>
    <row r="19" spans="1:11" x14ac:dyDescent="0.45">
      <c r="A19">
        <f t="shared" si="1"/>
        <v>18</v>
      </c>
      <c r="B19" t="s">
        <v>26</v>
      </c>
      <c r="C19" t="s">
        <v>27</v>
      </c>
      <c r="D19" t="s">
        <v>38</v>
      </c>
      <c r="E19" t="s">
        <v>52</v>
      </c>
      <c r="F19">
        <v>4</v>
      </c>
      <c r="G19">
        <v>-3</v>
      </c>
      <c r="H19">
        <v>-3.6</v>
      </c>
      <c r="I19">
        <v>-2</v>
      </c>
      <c r="J19" s="4">
        <f>Table5[[#This Row],[امتیاز شدت اثر بر F]]</f>
        <v>-3.6</v>
      </c>
      <c r="K19">
        <f>ABS(PRODUCT(Table5[[#This Row],[امتیاز احتمال]:[امتیاز شدت اثر بر C]]))</f>
        <v>86.4</v>
      </c>
    </row>
    <row r="20" spans="1:11" x14ac:dyDescent="0.45">
      <c r="A20">
        <f t="shared" si="1"/>
        <v>19</v>
      </c>
      <c r="B20" t="s">
        <v>26</v>
      </c>
      <c r="C20" t="s">
        <v>27</v>
      </c>
      <c r="D20" t="s">
        <v>39</v>
      </c>
      <c r="E20" t="s">
        <v>52</v>
      </c>
      <c r="F20">
        <v>4</v>
      </c>
      <c r="G20">
        <v>-3</v>
      </c>
      <c r="H20">
        <v>-3.6</v>
      </c>
      <c r="I20">
        <v>-4</v>
      </c>
      <c r="J20" s="4">
        <f>Table5[[#This Row],[امتیاز شدت اثر بر C]]</f>
        <v>-4</v>
      </c>
      <c r="K20">
        <f>ABS(PRODUCT(Table5[[#This Row],[امتیاز احتمال]:[امتیاز شدت اثر بر C]]))</f>
        <v>172.8</v>
      </c>
    </row>
    <row r="21" spans="1:11" x14ac:dyDescent="0.45">
      <c r="A21">
        <f t="shared" si="1"/>
        <v>20</v>
      </c>
      <c r="B21" t="s">
        <v>26</v>
      </c>
      <c r="C21" t="s">
        <v>27</v>
      </c>
      <c r="D21" t="s">
        <v>12</v>
      </c>
      <c r="E21" t="s">
        <v>52</v>
      </c>
      <c r="F21">
        <v>4</v>
      </c>
      <c r="G21">
        <v>-3</v>
      </c>
      <c r="H21">
        <v>-2.6</v>
      </c>
      <c r="I21">
        <v>-3.6</v>
      </c>
      <c r="J21" s="4">
        <f>Table5[[#This Row],[امتیاز شدت اثر بر C]]</f>
        <v>-3.6</v>
      </c>
      <c r="K21">
        <f>ABS(PRODUCT(Table5[[#This Row],[امتیاز احتمال]:[امتیاز شدت اثر بر C]]))</f>
        <v>112.32000000000001</v>
      </c>
    </row>
    <row r="22" spans="1:11" x14ac:dyDescent="0.45">
      <c r="A22">
        <f t="shared" si="1"/>
        <v>21</v>
      </c>
      <c r="B22" t="s">
        <v>26</v>
      </c>
      <c r="C22" t="s">
        <v>27</v>
      </c>
      <c r="D22" t="s">
        <v>13</v>
      </c>
      <c r="E22" t="s">
        <v>52</v>
      </c>
      <c r="F22">
        <v>4</v>
      </c>
      <c r="G22">
        <v>-3</v>
      </c>
      <c r="H22">
        <v>-1</v>
      </c>
      <c r="I22">
        <v>-3</v>
      </c>
      <c r="J22" s="4">
        <f>Table5[[#This Row],[امتیاز شدت اثر بر C]]</f>
        <v>-3</v>
      </c>
      <c r="K22">
        <f>ABS(PRODUCT(Table5[[#This Row],[امتیاز احتمال]:[امتیاز شدت اثر بر C]]))</f>
        <v>36</v>
      </c>
    </row>
    <row r="23" spans="1:11" x14ac:dyDescent="0.45">
      <c r="A23">
        <f t="shared" si="1"/>
        <v>22</v>
      </c>
      <c r="B23" t="s">
        <v>26</v>
      </c>
      <c r="C23" t="s">
        <v>27</v>
      </c>
      <c r="D23" t="s">
        <v>40</v>
      </c>
      <c r="E23" t="s">
        <v>52</v>
      </c>
      <c r="F23">
        <v>4</v>
      </c>
      <c r="G23">
        <v>-4</v>
      </c>
      <c r="H23">
        <v>-4</v>
      </c>
      <c r="I23">
        <v>-2</v>
      </c>
      <c r="J23" s="4">
        <f>Table5[[#This Row],[امتیاز شدت اثر بر F]]</f>
        <v>-4</v>
      </c>
      <c r="K23">
        <f>ABS(PRODUCT(Table5[[#This Row],[امتیاز احتمال]:[امتیاز شدت اثر بر C]]))</f>
        <v>128</v>
      </c>
    </row>
    <row r="24" spans="1:11" x14ac:dyDescent="0.45">
      <c r="A24">
        <f t="shared" si="1"/>
        <v>23</v>
      </c>
      <c r="B24" t="s">
        <v>26</v>
      </c>
      <c r="C24" t="s">
        <v>27</v>
      </c>
      <c r="D24" t="s">
        <v>41</v>
      </c>
      <c r="E24" t="s">
        <v>52</v>
      </c>
      <c r="F24">
        <v>3.6</v>
      </c>
      <c r="G24">
        <v>-4</v>
      </c>
      <c r="H24">
        <v>-2.6</v>
      </c>
      <c r="I24">
        <v>-3.3</v>
      </c>
      <c r="J24" s="4">
        <f>Table5[[#This Row],[امتیاز شدت اثر بر R]]</f>
        <v>-4</v>
      </c>
      <c r="K24">
        <f>ABS(PRODUCT(Table5[[#This Row],[امتیاز احتمال]:[امتیاز شدت اثر بر C]]))</f>
        <v>123.55200000000001</v>
      </c>
    </row>
    <row r="25" spans="1:11" x14ac:dyDescent="0.45">
      <c r="A25">
        <f t="shared" si="1"/>
        <v>24</v>
      </c>
      <c r="B25" t="s">
        <v>26</v>
      </c>
      <c r="C25" t="s">
        <v>25</v>
      </c>
      <c r="D25" t="s">
        <v>42</v>
      </c>
      <c r="E25" t="s">
        <v>53</v>
      </c>
      <c r="F25">
        <v>2.2999999999999998</v>
      </c>
      <c r="G25">
        <v>4</v>
      </c>
      <c r="H25">
        <v>2</v>
      </c>
      <c r="I25">
        <v>3.6</v>
      </c>
      <c r="J25" s="4">
        <f>Table5[[#This Row],[امتیاز شدت اثر بر R]]</f>
        <v>4</v>
      </c>
      <c r="K25">
        <f>ABS(PRODUCT(Table5[[#This Row],[امتیاز احتمال]:[امتیاز شدت اثر بر C]]))</f>
        <v>66.239999999999995</v>
      </c>
    </row>
    <row r="26" spans="1:11" x14ac:dyDescent="0.45">
      <c r="A26">
        <f t="shared" si="1"/>
        <v>25</v>
      </c>
      <c r="B26" t="s">
        <v>28</v>
      </c>
      <c r="C26" t="s">
        <v>27</v>
      </c>
      <c r="D26" t="s">
        <v>43</v>
      </c>
      <c r="E26" t="s">
        <v>53</v>
      </c>
      <c r="F26">
        <v>2.2999999999999998</v>
      </c>
      <c r="G26">
        <v>-2</v>
      </c>
      <c r="H26">
        <v>-3.6</v>
      </c>
      <c r="I26">
        <v>-2</v>
      </c>
      <c r="J26" s="4">
        <f>Table5[[#This Row],[امتیاز شدت اثر بر F]]</f>
        <v>-3.6</v>
      </c>
      <c r="K26">
        <f>ABS(PRODUCT(Table5[[#This Row],[امتیاز احتمال]:[امتیاز شدت اثر بر C]]))</f>
        <v>33.119999999999997</v>
      </c>
    </row>
    <row r="27" spans="1:11" x14ac:dyDescent="0.45">
      <c r="A27">
        <f t="shared" si="1"/>
        <v>26</v>
      </c>
      <c r="B27" t="s">
        <v>28</v>
      </c>
      <c r="C27" t="s">
        <v>27</v>
      </c>
      <c r="D27" t="s">
        <v>44</v>
      </c>
      <c r="E27" t="s">
        <v>53</v>
      </c>
      <c r="F27">
        <v>2.2999999999999998</v>
      </c>
      <c r="G27">
        <v>-3.3</v>
      </c>
      <c r="H27">
        <v>-2</v>
      </c>
      <c r="I27">
        <v>-1</v>
      </c>
      <c r="J27" s="4">
        <f>Table5[[#This Row],[امتیاز شدت اثر بر R]]</f>
        <v>-3.3</v>
      </c>
      <c r="K27">
        <f>ABS(PRODUCT(Table5[[#This Row],[امتیاز احتمال]:[امتیاز شدت اثر بر C]]))</f>
        <v>15.179999999999998</v>
      </c>
    </row>
    <row r="28" spans="1:11" x14ac:dyDescent="0.45">
      <c r="A28">
        <f t="shared" si="1"/>
        <v>27</v>
      </c>
      <c r="B28" t="s">
        <v>28</v>
      </c>
      <c r="C28" t="s">
        <v>27</v>
      </c>
      <c r="D28" s="2" t="s">
        <v>46</v>
      </c>
      <c r="E28" t="s">
        <v>53</v>
      </c>
      <c r="F28">
        <v>2.2999999999999998</v>
      </c>
      <c r="G28">
        <v>-2</v>
      </c>
      <c r="H28">
        <v>-1.6</v>
      </c>
      <c r="I28">
        <v>-1</v>
      </c>
      <c r="J28" s="4">
        <f>Table5[[#This Row],[امتیاز شدت اثر بر R]]</f>
        <v>-2</v>
      </c>
      <c r="K28">
        <f>ABS(PRODUCT(Table5[[#This Row],[امتیاز احتمال]:[امتیاز شدت اثر بر C]]))</f>
        <v>7.3599999999999994</v>
      </c>
    </row>
    <row r="29" spans="1:11" x14ac:dyDescent="0.45">
      <c r="A29">
        <f t="shared" si="1"/>
        <v>28</v>
      </c>
      <c r="B29" t="s">
        <v>28</v>
      </c>
      <c r="C29" t="s">
        <v>27</v>
      </c>
      <c r="D29" t="s">
        <v>45</v>
      </c>
      <c r="E29" t="s">
        <v>52</v>
      </c>
      <c r="F29">
        <v>4</v>
      </c>
      <c r="G29">
        <v>-3.6</v>
      </c>
      <c r="H29">
        <v>-4</v>
      </c>
      <c r="I29">
        <v>-1.6</v>
      </c>
      <c r="J29" s="4">
        <f>Table5[[#This Row],[امتیاز شدت اثر بر F]]</f>
        <v>-4</v>
      </c>
      <c r="K29">
        <f>ABS(PRODUCT(Table5[[#This Row],[امتیاز احتمال]:[امتیاز شدت اثر بر C]]))</f>
        <v>92.160000000000011</v>
      </c>
    </row>
    <row r="30" spans="1:11" x14ac:dyDescent="0.45">
      <c r="A30">
        <f t="shared" si="1"/>
        <v>29</v>
      </c>
      <c r="B30" t="s">
        <v>28</v>
      </c>
      <c r="C30" t="s">
        <v>27</v>
      </c>
      <c r="D30" t="s">
        <v>47</v>
      </c>
      <c r="E30" t="s">
        <v>52</v>
      </c>
      <c r="F30">
        <v>3</v>
      </c>
      <c r="G30">
        <v>-2.6</v>
      </c>
      <c r="H30">
        <v>-1</v>
      </c>
      <c r="I30">
        <v>-1.6</v>
      </c>
      <c r="J30" s="4">
        <f>Table5[[#This Row],[امتیاز شدت اثر بر R]]</f>
        <v>-2.6</v>
      </c>
      <c r="K30">
        <f>ABS(PRODUCT(Table5[[#This Row],[امتیاز احتمال]:[امتیاز شدت اثر بر C]]))</f>
        <v>12.480000000000002</v>
      </c>
    </row>
    <row r="31" spans="1:11" x14ac:dyDescent="0.45">
      <c r="A31">
        <f t="shared" si="1"/>
        <v>30</v>
      </c>
      <c r="B31" t="s">
        <v>28</v>
      </c>
      <c r="C31" t="s">
        <v>25</v>
      </c>
      <c r="D31" t="s">
        <v>48</v>
      </c>
      <c r="E31" t="s">
        <v>52</v>
      </c>
      <c r="F31">
        <v>3</v>
      </c>
      <c r="G31">
        <v>2.6</v>
      </c>
      <c r="H31">
        <v>1</v>
      </c>
      <c r="I31">
        <v>2.6</v>
      </c>
      <c r="J31" s="4">
        <f>Table5[[#This Row],[امتیاز شدت اثر بر C]]</f>
        <v>2.6</v>
      </c>
      <c r="K31">
        <f>ABS(PRODUCT(Table5[[#This Row],[امتیاز احتمال]:[امتیاز شدت اثر بر C]]))</f>
        <v>20.28</v>
      </c>
    </row>
    <row r="32" spans="1:11" x14ac:dyDescent="0.45">
      <c r="A32">
        <f t="shared" si="1"/>
        <v>31</v>
      </c>
      <c r="B32" t="s">
        <v>29</v>
      </c>
      <c r="C32" t="s">
        <v>27</v>
      </c>
      <c r="D32" t="s">
        <v>14</v>
      </c>
      <c r="E32" t="s">
        <v>53</v>
      </c>
      <c r="F32">
        <v>3</v>
      </c>
      <c r="G32">
        <v>-2.6</v>
      </c>
      <c r="H32">
        <v>-1.6</v>
      </c>
      <c r="I32">
        <v>-1.6</v>
      </c>
      <c r="J32" s="4">
        <f>Table5[[#This Row],[امتیاز شدت اثر بر R]]</f>
        <v>-2.6</v>
      </c>
      <c r="K32">
        <f>ABS(PRODUCT(Table5[[#This Row],[امتیاز احتمال]:[امتیاز شدت اثر بر C]]))</f>
        <v>19.968000000000004</v>
      </c>
    </row>
    <row r="33" spans="1:11" x14ac:dyDescent="0.45">
      <c r="A33">
        <f t="shared" si="1"/>
        <v>32</v>
      </c>
      <c r="B33" t="s">
        <v>29</v>
      </c>
      <c r="C33" t="s">
        <v>27</v>
      </c>
      <c r="D33" t="s">
        <v>15</v>
      </c>
      <c r="E33" t="s">
        <v>53</v>
      </c>
      <c r="F33">
        <v>3</v>
      </c>
      <c r="G33">
        <v>-2.6</v>
      </c>
      <c r="H33">
        <v>-3</v>
      </c>
      <c r="I33">
        <v>-2</v>
      </c>
      <c r="J33" s="4">
        <f>Table5[[#This Row],[امتیاز شدت اثر بر F]]</f>
        <v>-3</v>
      </c>
      <c r="K33">
        <f>ABS(PRODUCT(Table5[[#This Row],[امتیاز احتمال]:[امتیاز شدت اثر بر C]]))</f>
        <v>46.800000000000004</v>
      </c>
    </row>
    <row r="34" spans="1:11" x14ac:dyDescent="0.45">
      <c r="A34">
        <f t="shared" si="1"/>
        <v>33</v>
      </c>
      <c r="B34" t="s">
        <v>29</v>
      </c>
      <c r="C34" t="s">
        <v>27</v>
      </c>
      <c r="D34" t="s">
        <v>16</v>
      </c>
      <c r="E34" t="s">
        <v>53</v>
      </c>
      <c r="F34">
        <v>3.6</v>
      </c>
      <c r="G34">
        <v>-3.6</v>
      </c>
      <c r="H34">
        <v>-3</v>
      </c>
      <c r="I34">
        <v>-3</v>
      </c>
      <c r="J34" s="4">
        <f>Table5[[#This Row],[امتیاز شدت اثر بر R]]</f>
        <v>-3.6</v>
      </c>
      <c r="K34">
        <f>ABS(PRODUCT(Table5[[#This Row],[امتیاز احتمال]:[امتیاز شدت اثر بر C]]))</f>
        <v>116.64000000000001</v>
      </c>
    </row>
    <row r="35" spans="1:11" x14ac:dyDescent="0.45">
      <c r="A35">
        <f t="shared" si="1"/>
        <v>34</v>
      </c>
      <c r="B35" t="s">
        <v>29</v>
      </c>
      <c r="C35" t="s">
        <v>25</v>
      </c>
      <c r="D35" t="s">
        <v>17</v>
      </c>
      <c r="E35" t="s">
        <v>53</v>
      </c>
      <c r="F35">
        <v>3.6</v>
      </c>
      <c r="G35">
        <v>3</v>
      </c>
      <c r="H35">
        <v>2.6</v>
      </c>
      <c r="I35">
        <v>1.6</v>
      </c>
      <c r="J35" s="4">
        <f>Table5[[#This Row],[امتیاز شدت اثر بر R]]</f>
        <v>3</v>
      </c>
      <c r="K35">
        <f>ABS(PRODUCT(Table5[[#This Row],[امتیاز احتمال]:[امتیاز شدت اثر بر C]]))</f>
        <v>44.928000000000004</v>
      </c>
    </row>
    <row r="36" spans="1:11" x14ac:dyDescent="0.45">
      <c r="A36">
        <f t="shared" si="1"/>
        <v>35</v>
      </c>
      <c r="B36" t="s">
        <v>29</v>
      </c>
      <c r="C36" t="s">
        <v>25</v>
      </c>
      <c r="D36" t="s">
        <v>18</v>
      </c>
      <c r="E36" t="s">
        <v>53</v>
      </c>
      <c r="F36">
        <v>3.6</v>
      </c>
      <c r="G36">
        <v>2.2999999999999998</v>
      </c>
      <c r="H36">
        <v>1.6</v>
      </c>
      <c r="I36">
        <v>1</v>
      </c>
      <c r="J36" s="4">
        <f>Table5[[#This Row],[امتیاز شدت اثر بر R]]</f>
        <v>2.2999999999999998</v>
      </c>
      <c r="K36">
        <f>ABS(PRODUCT(Table5[[#This Row],[امتیاز احتمال]:[امتیاز شدت اثر بر C]]))</f>
        <v>13.247999999999999</v>
      </c>
    </row>
    <row r="37" spans="1:11" x14ac:dyDescent="0.45">
      <c r="A37">
        <f t="shared" si="1"/>
        <v>36</v>
      </c>
      <c r="B37" t="s">
        <v>29</v>
      </c>
      <c r="C37" t="s">
        <v>25</v>
      </c>
      <c r="D37" t="s">
        <v>49</v>
      </c>
      <c r="E37" t="s">
        <v>52</v>
      </c>
      <c r="F37">
        <v>3</v>
      </c>
      <c r="G37">
        <v>1.3</v>
      </c>
      <c r="H37">
        <v>1.3</v>
      </c>
      <c r="I37">
        <v>1</v>
      </c>
      <c r="J37" s="4">
        <f>Table5[[#This Row],[امتیاز شدت اثر بر R]]</f>
        <v>1.3</v>
      </c>
      <c r="K37">
        <f>ABS(PRODUCT(Table5[[#This Row],[امتیاز احتمال]:[امتیاز شدت اثر بر C]]))</f>
        <v>5.07</v>
      </c>
    </row>
    <row r="38" spans="1:11" x14ac:dyDescent="0.45">
      <c r="A38">
        <f t="shared" si="1"/>
        <v>37</v>
      </c>
      <c r="B38" t="s">
        <v>30</v>
      </c>
      <c r="C38" t="s">
        <v>27</v>
      </c>
      <c r="D38" t="s">
        <v>50</v>
      </c>
      <c r="E38" t="s">
        <v>52</v>
      </c>
      <c r="F38">
        <v>4</v>
      </c>
      <c r="G38">
        <v>-3</v>
      </c>
      <c r="H38">
        <v>-3</v>
      </c>
      <c r="I38">
        <v>-1</v>
      </c>
      <c r="J38" s="4">
        <f>Table5[[#This Row],[امتیاز شدت اثر بر F]]</f>
        <v>-3</v>
      </c>
      <c r="K38">
        <f>ABS(PRODUCT(Table5[[#This Row],[امتیاز احتمال]:[امتیاز شدت اثر بر C]]))</f>
        <v>36</v>
      </c>
    </row>
    <row r="39" spans="1:11" x14ac:dyDescent="0.45">
      <c r="A39">
        <f t="shared" si="1"/>
        <v>38</v>
      </c>
      <c r="B39" t="s">
        <v>30</v>
      </c>
      <c r="C39" t="s">
        <v>25</v>
      </c>
      <c r="D39" t="s">
        <v>51</v>
      </c>
      <c r="E39" t="s">
        <v>53</v>
      </c>
      <c r="F39">
        <v>4</v>
      </c>
      <c r="G39">
        <v>4</v>
      </c>
      <c r="H39">
        <v>2</v>
      </c>
      <c r="I39">
        <v>3.3</v>
      </c>
      <c r="J39" s="4">
        <f>Table5[[#This Row],[امتیاز شدت اثر بر R]]</f>
        <v>4</v>
      </c>
      <c r="K39">
        <f>ABS(PRODUCT(Table5[[#This Row],[امتیاز احتمال]:[امتیاز شدت اثر بر C]]))</f>
        <v>105.6</v>
      </c>
    </row>
    <row r="40" spans="1:11" x14ac:dyDescent="0.45">
      <c r="A40">
        <f t="shared" si="1"/>
        <v>39</v>
      </c>
      <c r="B40" t="s">
        <v>30</v>
      </c>
      <c r="C40" t="s">
        <v>25</v>
      </c>
      <c r="D40" s="1" t="s">
        <v>19</v>
      </c>
      <c r="E40" t="s">
        <v>52</v>
      </c>
      <c r="F40">
        <v>3</v>
      </c>
      <c r="G40">
        <v>3</v>
      </c>
      <c r="H40">
        <v>1.3</v>
      </c>
      <c r="I40">
        <v>2.2999999999999998</v>
      </c>
      <c r="J40" s="4">
        <f>Table5[[#This Row],[امتیاز شدت اثر بر R]]</f>
        <v>3</v>
      </c>
      <c r="K40">
        <f>ABS(PRODUCT(Table5[[#This Row],[امتیاز احتمال]:[امتیاز شدت اثر بر C]]))</f>
        <v>26.91</v>
      </c>
    </row>
  </sheetData>
  <phoneticPr fontId="1" type="noConversion"/>
  <pageMargins left="0.7" right="0.7" top="0.75" bottom="0.75" header="0.3" footer="0.3"/>
  <ignoredErrors>
    <ignoredError sqref="J4 J5:J11 J12:J40" calculatedColumn="1"/>
  </ignoredErrors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FF0DD-0742-498D-9F65-5AB043496D09}">
  <dimension ref="A1:K40"/>
  <sheetViews>
    <sheetView workbookViewId="0">
      <selection activeCell="L28" sqref="L28"/>
    </sheetView>
  </sheetViews>
  <sheetFormatPr defaultRowHeight="14.25" x14ac:dyDescent="0.45"/>
  <cols>
    <col min="9" max="9" width="7.53125" customWidth="1"/>
  </cols>
  <sheetData>
    <row r="1" spans="1:11" x14ac:dyDescent="0.45">
      <c r="A1" s="5" t="s">
        <v>63</v>
      </c>
      <c r="B1" s="6" t="s">
        <v>61</v>
      </c>
      <c r="C1" s="6" t="s">
        <v>64</v>
      </c>
      <c r="D1" s="6" t="s">
        <v>65</v>
      </c>
      <c r="E1" s="6" t="s">
        <v>62</v>
      </c>
    </row>
    <row r="2" spans="1:11" x14ac:dyDescent="0.45">
      <c r="A2" s="7">
        <v>1</v>
      </c>
      <c r="B2" s="11">
        <v>2.2999999999999998</v>
      </c>
      <c r="C2" s="11">
        <v>-3.6</v>
      </c>
      <c r="D2" s="11">
        <v>-4.3</v>
      </c>
      <c r="E2" s="11">
        <v>-1.6</v>
      </c>
    </row>
    <row r="3" spans="1:11" x14ac:dyDescent="0.45">
      <c r="A3" s="9">
        <f>A2+1</f>
        <v>2</v>
      </c>
      <c r="B3" s="12">
        <v>3.6</v>
      </c>
      <c r="C3" s="12">
        <v>-3.6</v>
      </c>
      <c r="D3" s="12">
        <v>-4.3</v>
      </c>
      <c r="E3" s="12">
        <v>-2.6</v>
      </c>
    </row>
    <row r="4" spans="1:11" x14ac:dyDescent="0.45">
      <c r="A4" s="7">
        <f t="shared" ref="A4:A40" si="0">A3+1</f>
        <v>3</v>
      </c>
      <c r="B4" s="11">
        <v>3</v>
      </c>
      <c r="C4" s="11">
        <v>-1.3</v>
      </c>
      <c r="D4" s="11">
        <v>-2</v>
      </c>
      <c r="E4" s="11">
        <v>-1.6</v>
      </c>
    </row>
    <row r="5" spans="1:11" x14ac:dyDescent="0.45">
      <c r="A5" s="9">
        <f t="shared" si="0"/>
        <v>4</v>
      </c>
      <c r="B5" s="12">
        <v>3.3</v>
      </c>
      <c r="C5" s="12">
        <v>-1.6</v>
      </c>
      <c r="D5" s="12">
        <v>-2.6</v>
      </c>
      <c r="E5" s="12">
        <v>-1</v>
      </c>
    </row>
    <row r="6" spans="1:11" x14ac:dyDescent="0.45">
      <c r="A6" s="7">
        <f t="shared" si="0"/>
        <v>5</v>
      </c>
      <c r="B6" s="11">
        <v>1.3</v>
      </c>
      <c r="C6" s="11">
        <v>-3.3</v>
      </c>
      <c r="D6" s="11">
        <v>-3</v>
      </c>
      <c r="E6" s="11">
        <v>-1</v>
      </c>
      <c r="H6" s="13"/>
      <c r="I6" s="13"/>
      <c r="J6" s="13"/>
      <c r="K6" s="13"/>
    </row>
    <row r="7" spans="1:11" x14ac:dyDescent="0.45">
      <c r="A7" s="9">
        <f t="shared" si="0"/>
        <v>6</v>
      </c>
      <c r="B7" s="12">
        <v>2</v>
      </c>
      <c r="C7" s="12">
        <v>-3</v>
      </c>
      <c r="D7" s="12">
        <v>-3</v>
      </c>
      <c r="E7" s="12">
        <v>-1</v>
      </c>
    </row>
    <row r="8" spans="1:11" x14ac:dyDescent="0.45">
      <c r="A8" s="7">
        <f t="shared" si="0"/>
        <v>7</v>
      </c>
      <c r="B8" s="11">
        <v>1.6</v>
      </c>
      <c r="C8" s="11">
        <v>-1</v>
      </c>
      <c r="D8" s="11">
        <v>-1.6</v>
      </c>
      <c r="E8" s="11">
        <v>-1.6</v>
      </c>
    </row>
    <row r="9" spans="1:11" x14ac:dyDescent="0.45">
      <c r="A9" s="9">
        <f t="shared" si="0"/>
        <v>8</v>
      </c>
      <c r="B9" s="12">
        <v>3.6</v>
      </c>
      <c r="C9" s="12">
        <v>-3.6</v>
      </c>
      <c r="D9" s="12">
        <v>-1</v>
      </c>
      <c r="E9" s="12">
        <v>-1</v>
      </c>
    </row>
    <row r="10" spans="1:11" x14ac:dyDescent="0.45">
      <c r="A10" s="7">
        <f t="shared" si="0"/>
        <v>9</v>
      </c>
      <c r="B10" s="11">
        <v>1.3</v>
      </c>
      <c r="C10" s="11">
        <v>-1</v>
      </c>
      <c r="D10" s="11">
        <v>-2.6</v>
      </c>
      <c r="E10" s="11">
        <v>-1</v>
      </c>
    </row>
    <row r="11" spans="1:11" x14ac:dyDescent="0.45">
      <c r="A11" s="9">
        <f t="shared" si="0"/>
        <v>10</v>
      </c>
      <c r="B11" s="10">
        <v>4</v>
      </c>
      <c r="C11" s="10">
        <v>-2</v>
      </c>
      <c r="D11" s="10">
        <v>-3</v>
      </c>
      <c r="E11" s="10">
        <v>-1</v>
      </c>
    </row>
    <row r="12" spans="1:11" x14ac:dyDescent="0.45">
      <c r="A12" s="7">
        <f t="shared" si="0"/>
        <v>11</v>
      </c>
      <c r="B12" s="8">
        <v>3.6</v>
      </c>
      <c r="C12" s="8">
        <v>-4</v>
      </c>
      <c r="D12" s="8">
        <v>-4</v>
      </c>
      <c r="E12" s="8">
        <v>-3</v>
      </c>
    </row>
    <row r="13" spans="1:11" x14ac:dyDescent="0.45">
      <c r="A13" s="9">
        <f t="shared" si="0"/>
        <v>12</v>
      </c>
      <c r="B13" s="10">
        <v>3.6</v>
      </c>
      <c r="C13" s="10">
        <v>4</v>
      </c>
      <c r="D13" s="10">
        <v>4.3</v>
      </c>
      <c r="E13" s="10">
        <v>1</v>
      </c>
    </row>
    <row r="14" spans="1:11" x14ac:dyDescent="0.45">
      <c r="A14" s="7">
        <f t="shared" si="0"/>
        <v>13</v>
      </c>
      <c r="B14" s="8">
        <v>3.6</v>
      </c>
      <c r="C14" s="8">
        <v>-4.5999999999999996</v>
      </c>
      <c r="D14" s="8">
        <v>-1.6</v>
      </c>
      <c r="E14" s="8">
        <v>-3.6</v>
      </c>
    </row>
    <row r="15" spans="1:11" x14ac:dyDescent="0.45">
      <c r="A15" s="9">
        <f t="shared" si="0"/>
        <v>14</v>
      </c>
      <c r="B15" s="10">
        <v>2.2999999999999998</v>
      </c>
      <c r="C15" s="10">
        <v>-4</v>
      </c>
      <c r="D15" s="10">
        <v>-3</v>
      </c>
      <c r="E15" s="10">
        <v>-3.3</v>
      </c>
    </row>
    <row r="16" spans="1:11" x14ac:dyDescent="0.45">
      <c r="A16" s="7">
        <f t="shared" si="0"/>
        <v>15</v>
      </c>
      <c r="B16" s="8">
        <v>3</v>
      </c>
      <c r="C16" s="8">
        <v>-3</v>
      </c>
      <c r="D16" s="8">
        <v>-1</v>
      </c>
      <c r="E16" s="8">
        <v>-4</v>
      </c>
    </row>
    <row r="17" spans="1:5" x14ac:dyDescent="0.45">
      <c r="A17" s="9">
        <f t="shared" si="0"/>
        <v>16</v>
      </c>
      <c r="B17" s="10">
        <v>4</v>
      </c>
      <c r="C17" s="10">
        <v>-3.6</v>
      </c>
      <c r="D17" s="10">
        <v>-3.6</v>
      </c>
      <c r="E17" s="10">
        <v>-4</v>
      </c>
    </row>
    <row r="18" spans="1:5" x14ac:dyDescent="0.45">
      <c r="A18" s="7">
        <f t="shared" si="0"/>
        <v>17</v>
      </c>
      <c r="B18" s="8">
        <v>4</v>
      </c>
      <c r="C18" s="8">
        <v>-3.6</v>
      </c>
      <c r="D18" s="8">
        <v>-4</v>
      </c>
      <c r="E18" s="8">
        <v>-4</v>
      </c>
    </row>
    <row r="19" spans="1:5" x14ac:dyDescent="0.45">
      <c r="A19" s="9">
        <f t="shared" si="0"/>
        <v>18</v>
      </c>
      <c r="B19" s="10">
        <v>4</v>
      </c>
      <c r="C19" s="10">
        <v>-3</v>
      </c>
      <c r="D19" s="10">
        <v>-3.6</v>
      </c>
      <c r="E19" s="10">
        <v>-2</v>
      </c>
    </row>
    <row r="20" spans="1:5" x14ac:dyDescent="0.45">
      <c r="A20" s="7">
        <f t="shared" si="0"/>
        <v>19</v>
      </c>
      <c r="B20" s="8">
        <v>4</v>
      </c>
      <c r="C20" s="8">
        <v>-3</v>
      </c>
      <c r="D20" s="8">
        <v>-3.6</v>
      </c>
      <c r="E20" s="8">
        <v>-4</v>
      </c>
    </row>
    <row r="21" spans="1:5" x14ac:dyDescent="0.45">
      <c r="A21" s="9">
        <f t="shared" si="0"/>
        <v>20</v>
      </c>
      <c r="B21" s="10">
        <v>4</v>
      </c>
      <c r="C21" s="10">
        <v>-3</v>
      </c>
      <c r="D21" s="10">
        <v>-2.6</v>
      </c>
      <c r="E21" s="10">
        <v>-3.6</v>
      </c>
    </row>
    <row r="22" spans="1:5" x14ac:dyDescent="0.45">
      <c r="A22" s="7">
        <f t="shared" si="0"/>
        <v>21</v>
      </c>
      <c r="B22" s="8">
        <v>4</v>
      </c>
      <c r="C22" s="8">
        <v>-3</v>
      </c>
      <c r="D22" s="8">
        <v>-1</v>
      </c>
      <c r="E22" s="8">
        <v>-3</v>
      </c>
    </row>
    <row r="23" spans="1:5" x14ac:dyDescent="0.45">
      <c r="A23" s="9">
        <f t="shared" si="0"/>
        <v>22</v>
      </c>
      <c r="B23" s="10">
        <v>4</v>
      </c>
      <c r="C23" s="10">
        <v>-4</v>
      </c>
      <c r="D23" s="10">
        <v>-4</v>
      </c>
      <c r="E23" s="10">
        <v>-2</v>
      </c>
    </row>
    <row r="24" spans="1:5" x14ac:dyDescent="0.45">
      <c r="A24" s="7">
        <f t="shared" si="0"/>
        <v>23</v>
      </c>
      <c r="B24" s="8">
        <v>3.6</v>
      </c>
      <c r="C24" s="8">
        <v>-4</v>
      </c>
      <c r="D24" s="8">
        <v>-2.6</v>
      </c>
      <c r="E24" s="8">
        <v>-3.3</v>
      </c>
    </row>
    <row r="25" spans="1:5" x14ac:dyDescent="0.45">
      <c r="A25" s="9">
        <f t="shared" si="0"/>
        <v>24</v>
      </c>
      <c r="B25" s="10">
        <v>2.2999999999999998</v>
      </c>
      <c r="C25" s="10">
        <v>4</v>
      </c>
      <c r="D25" s="10">
        <v>2</v>
      </c>
      <c r="E25" s="10">
        <v>3.6</v>
      </c>
    </row>
    <row r="26" spans="1:5" x14ac:dyDescent="0.45">
      <c r="A26" s="7">
        <f t="shared" si="0"/>
        <v>25</v>
      </c>
      <c r="B26" s="8">
        <v>2.2999999999999998</v>
      </c>
      <c r="C26" s="8">
        <v>-2</v>
      </c>
      <c r="D26" s="8">
        <v>-3.6</v>
      </c>
      <c r="E26" s="8">
        <v>-2</v>
      </c>
    </row>
    <row r="27" spans="1:5" x14ac:dyDescent="0.45">
      <c r="A27" s="9">
        <f t="shared" si="0"/>
        <v>26</v>
      </c>
      <c r="B27" s="10">
        <v>2.2999999999999998</v>
      </c>
      <c r="C27" s="10">
        <v>-3.3</v>
      </c>
      <c r="D27" s="10">
        <v>-2</v>
      </c>
      <c r="E27" s="10">
        <v>-1</v>
      </c>
    </row>
    <row r="28" spans="1:5" x14ac:dyDescent="0.45">
      <c r="A28" s="7">
        <f t="shared" si="0"/>
        <v>27</v>
      </c>
      <c r="B28" s="8">
        <v>2.2999999999999998</v>
      </c>
      <c r="C28" s="8">
        <v>-2</v>
      </c>
      <c r="D28" s="8">
        <v>-1.6</v>
      </c>
      <c r="E28" s="8">
        <v>-1</v>
      </c>
    </row>
    <row r="29" spans="1:5" x14ac:dyDescent="0.45">
      <c r="A29" s="9">
        <f t="shared" si="0"/>
        <v>28</v>
      </c>
      <c r="B29" s="10">
        <v>4</v>
      </c>
      <c r="C29" s="10">
        <v>-3.6</v>
      </c>
      <c r="D29" s="10">
        <v>-4</v>
      </c>
      <c r="E29" s="10">
        <v>-1.6</v>
      </c>
    </row>
    <row r="30" spans="1:5" x14ac:dyDescent="0.45">
      <c r="A30" s="7">
        <f t="shared" si="0"/>
        <v>29</v>
      </c>
      <c r="B30" s="8">
        <v>3</v>
      </c>
      <c r="C30" s="8">
        <v>-2.6</v>
      </c>
      <c r="D30" s="8">
        <v>-1</v>
      </c>
      <c r="E30" s="8">
        <v>-1.6</v>
      </c>
    </row>
    <row r="31" spans="1:5" x14ac:dyDescent="0.45">
      <c r="A31" s="9">
        <f t="shared" si="0"/>
        <v>30</v>
      </c>
      <c r="B31" s="10">
        <v>3</v>
      </c>
      <c r="C31" s="10">
        <v>2.6</v>
      </c>
      <c r="D31" s="10">
        <v>1</v>
      </c>
      <c r="E31" s="10">
        <v>2.6</v>
      </c>
    </row>
    <row r="32" spans="1:5" x14ac:dyDescent="0.45">
      <c r="A32" s="7">
        <f t="shared" si="0"/>
        <v>31</v>
      </c>
      <c r="B32" s="8">
        <v>3</v>
      </c>
      <c r="C32" s="8">
        <v>-2.6</v>
      </c>
      <c r="D32" s="8">
        <v>-1.6</v>
      </c>
      <c r="E32" s="8">
        <v>-1.6</v>
      </c>
    </row>
    <row r="33" spans="1:5" x14ac:dyDescent="0.45">
      <c r="A33" s="9">
        <f t="shared" si="0"/>
        <v>32</v>
      </c>
      <c r="B33" s="10">
        <v>3</v>
      </c>
      <c r="C33" s="10">
        <v>-2.6</v>
      </c>
      <c r="D33" s="10">
        <v>-3</v>
      </c>
      <c r="E33" s="10">
        <v>-2</v>
      </c>
    </row>
    <row r="34" spans="1:5" x14ac:dyDescent="0.45">
      <c r="A34" s="7">
        <f t="shared" si="0"/>
        <v>33</v>
      </c>
      <c r="B34" s="8">
        <v>3.6</v>
      </c>
      <c r="C34" s="8">
        <v>-3.6</v>
      </c>
      <c r="D34" s="8">
        <v>-3</v>
      </c>
      <c r="E34" s="8">
        <v>-3</v>
      </c>
    </row>
    <row r="35" spans="1:5" x14ac:dyDescent="0.45">
      <c r="A35" s="9">
        <f t="shared" si="0"/>
        <v>34</v>
      </c>
      <c r="B35" s="10">
        <v>3.6</v>
      </c>
      <c r="C35" s="10">
        <v>3</v>
      </c>
      <c r="D35" s="10">
        <v>2.6</v>
      </c>
      <c r="E35" s="10">
        <v>1.6</v>
      </c>
    </row>
    <row r="36" spans="1:5" x14ac:dyDescent="0.45">
      <c r="A36" s="7">
        <f t="shared" si="0"/>
        <v>35</v>
      </c>
      <c r="B36" s="8">
        <v>3.6</v>
      </c>
      <c r="C36" s="8">
        <v>2.2999999999999998</v>
      </c>
      <c r="D36" s="8">
        <v>1.6</v>
      </c>
      <c r="E36" s="8">
        <v>1</v>
      </c>
    </row>
    <row r="37" spans="1:5" x14ac:dyDescent="0.45">
      <c r="A37" s="9">
        <f t="shared" si="0"/>
        <v>36</v>
      </c>
      <c r="B37" s="10">
        <v>3</v>
      </c>
      <c r="C37" s="10">
        <v>1.3</v>
      </c>
      <c r="D37" s="10">
        <v>1.3</v>
      </c>
      <c r="E37" s="10">
        <v>1</v>
      </c>
    </row>
    <row r="38" spans="1:5" x14ac:dyDescent="0.45">
      <c r="A38" s="7">
        <f t="shared" si="0"/>
        <v>37</v>
      </c>
      <c r="B38" s="8">
        <v>4</v>
      </c>
      <c r="C38" s="8">
        <v>-3</v>
      </c>
      <c r="D38" s="8">
        <v>-3</v>
      </c>
      <c r="E38" s="8">
        <v>-1</v>
      </c>
    </row>
    <row r="39" spans="1:5" x14ac:dyDescent="0.45">
      <c r="A39" s="9">
        <f t="shared" si="0"/>
        <v>38</v>
      </c>
      <c r="B39" s="10">
        <v>4</v>
      </c>
      <c r="C39" s="10">
        <v>4</v>
      </c>
      <c r="D39" s="10">
        <v>2</v>
      </c>
      <c r="E39" s="10">
        <v>3.3</v>
      </c>
    </row>
    <row r="40" spans="1:5" x14ac:dyDescent="0.45">
      <c r="A40" s="7">
        <f t="shared" si="0"/>
        <v>39</v>
      </c>
      <c r="B40" s="8">
        <v>3</v>
      </c>
      <c r="C40" s="8">
        <v>3</v>
      </c>
      <c r="D40" s="8">
        <v>1.3</v>
      </c>
      <c r="E40" s="8">
        <v>2.2999999999999998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740448-7EC7-4402-88FC-A6EC96A9275A}">
  <dimension ref="B4:F10"/>
  <sheetViews>
    <sheetView topLeftCell="B1" workbookViewId="0">
      <selection activeCell="F15" sqref="F15"/>
    </sheetView>
  </sheetViews>
  <sheetFormatPr defaultRowHeight="14.25" x14ac:dyDescent="0.45"/>
  <sheetData>
    <row r="4" spans="2:6" x14ac:dyDescent="0.45">
      <c r="C4" t="s">
        <v>70</v>
      </c>
      <c r="D4" t="s">
        <v>71</v>
      </c>
      <c r="E4" t="s">
        <v>72</v>
      </c>
      <c r="F4" t="s">
        <v>73</v>
      </c>
    </row>
    <row r="5" spans="2:6" ht="16.899999999999999" x14ac:dyDescent="0.8">
      <c r="B5" s="14" t="s">
        <v>66</v>
      </c>
      <c r="C5">
        <v>3.64</v>
      </c>
      <c r="D5">
        <v>-3.52</v>
      </c>
      <c r="E5">
        <v>-1.76</v>
      </c>
      <c r="F5">
        <v>-3.5</v>
      </c>
    </row>
    <row r="6" spans="2:6" ht="16.899999999999999" x14ac:dyDescent="0.8">
      <c r="B6" s="14" t="s">
        <v>68</v>
      </c>
      <c r="C6">
        <v>3.26</v>
      </c>
      <c r="D6">
        <v>3.03</v>
      </c>
      <c r="E6">
        <v>2.0099999999999998</v>
      </c>
      <c r="F6">
        <v>2.0499999999999998</v>
      </c>
    </row>
    <row r="7" spans="2:6" ht="16.899999999999999" x14ac:dyDescent="0.8">
      <c r="B7" s="14" t="s">
        <v>67</v>
      </c>
      <c r="C7">
        <v>3.58</v>
      </c>
      <c r="D7">
        <v>-3.6</v>
      </c>
      <c r="E7">
        <v>-3.76</v>
      </c>
      <c r="F7">
        <v>-2.83</v>
      </c>
    </row>
    <row r="8" spans="2:6" ht="16.899999999999999" x14ac:dyDescent="0.8">
      <c r="B8" s="14" t="s">
        <v>69</v>
      </c>
      <c r="C8">
        <v>2.67</v>
      </c>
      <c r="D8">
        <v>-2.33</v>
      </c>
      <c r="E8">
        <v>-2.2999999999999998</v>
      </c>
      <c r="F8">
        <v>-1.29</v>
      </c>
    </row>
    <row r="9" spans="2:6" ht="16.899999999999999" x14ac:dyDescent="0.8">
      <c r="B9" s="14"/>
    </row>
    <row r="10" spans="2:6" ht="16.899999999999999" x14ac:dyDescent="0.8">
      <c r="B10" s="14"/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35A84CE-C3B1-4F96-B8EC-77D4FACB699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2015-06-05T18:17:20Z</dcterms:created>
  <dcterms:modified xsi:type="dcterms:W3CDTF">2023-09-10T07:45:58Z</dcterms:modified>
</cp:coreProperties>
</file>